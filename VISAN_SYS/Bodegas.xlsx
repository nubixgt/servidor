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8997BA2-566C-475E-BAC6-B47F686187B6}" xr6:coauthVersionLast="47" xr6:coauthVersionMax="47" xr10:uidLastSave="{00000000-0000-0000-0000-000000000000}"/>
  <bookViews>
    <workbookView xWindow="-110" yWindow="-110" windowWidth="19420" windowHeight="11500" firstSheet="2" activeTab="3" xr2:uid="{E8884DDC-6841-496C-AB54-D27D32566F81}"/>
  </bookViews>
  <sheets>
    <sheet name="RACIONES EN ALMACENES UDAFA " sheetId="1" r:id="rId1"/>
    <sheet name="CONTENIDO DE LA RACION" sheetId="2" r:id="rId2"/>
    <sheet name="DISTRIBUCION RACION POR BODEGA" sheetId="3" r:id="rId3"/>
    <sheet name="RESUMEN CONVENIOS 202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" i="3" l="1"/>
  <c r="L14" i="3"/>
  <c r="K14" i="3"/>
  <c r="J14" i="3"/>
  <c r="I14" i="3"/>
  <c r="H14" i="3"/>
  <c r="G14" i="3"/>
  <c r="F14" i="3"/>
  <c r="E14" i="3"/>
  <c r="D14" i="3"/>
  <c r="C14" i="3"/>
  <c r="B14" i="3"/>
  <c r="G7" i="1"/>
  <c r="F7" i="1"/>
  <c r="E7" i="1"/>
  <c r="D7" i="1"/>
  <c r="C7" i="1"/>
</calcChain>
</file>

<file path=xl/sharedStrings.xml><?xml version="1.0" encoding="utf-8"?>
<sst xmlns="http://schemas.openxmlformats.org/spreadsheetml/2006/main" count="210" uniqueCount="85">
  <si>
    <t>RACIONES PENDIENTES DE ENTREGAR PMA</t>
  </si>
  <si>
    <t>CONVENIOS</t>
  </si>
  <si>
    <t xml:space="preserve">TOTAL RACIONES POR CONVENIO </t>
  </si>
  <si>
    <t>TOTAL</t>
  </si>
  <si>
    <t>03-2026 / Reserva Estrategica</t>
  </si>
  <si>
    <t>04-2026 / Alimentos Por Acciones</t>
  </si>
  <si>
    <t xml:space="preserve">RACIONES RECIBIDAS EN BODEGAS VISAN </t>
  </si>
  <si>
    <t>RACIONES DESPACHADAS</t>
  </si>
  <si>
    <t xml:space="preserve">ASISTENCIA ALIMENTARIA </t>
  </si>
  <si>
    <t xml:space="preserve">ALIMENTOS POR ACCIONES </t>
  </si>
  <si>
    <t>PROGRAMAS</t>
  </si>
  <si>
    <t>RACIONES DISPONIBLES POR PROGRAMA</t>
  </si>
  <si>
    <t xml:space="preserve">RESERVA ESTRATEGICA </t>
  </si>
  <si>
    <t>05-2026 / NDA - MC - MJ - MT</t>
  </si>
  <si>
    <t>02-2026 / INSAN</t>
  </si>
  <si>
    <t xml:space="preserve">PRODUCTO </t>
  </si>
  <si>
    <t>PRESENTACIÓN</t>
  </si>
  <si>
    <t>CANTIDAD</t>
  </si>
  <si>
    <t>Arroz</t>
  </si>
  <si>
    <t>Bolsa de 05 libras</t>
  </si>
  <si>
    <t>Frijol Negro</t>
  </si>
  <si>
    <t>Avena en Hojuela</t>
  </si>
  <si>
    <t>Bolsa de 1 kg</t>
  </si>
  <si>
    <t xml:space="preserve">Azucar </t>
  </si>
  <si>
    <t>Bolsa de 500 gramos</t>
  </si>
  <si>
    <t>Aceite Vegetal</t>
  </si>
  <si>
    <t>Botella 800 ml</t>
  </si>
  <si>
    <t>Sal Yodada</t>
  </si>
  <si>
    <t>Bolsa de 460 gramos</t>
  </si>
  <si>
    <t>Maiz Blanco</t>
  </si>
  <si>
    <t>Bolsa de 25 libras</t>
  </si>
  <si>
    <t>Mezcla de Harina de Maiz y Soya Fortificada</t>
  </si>
  <si>
    <t>Bolsa de 900 gramos</t>
  </si>
  <si>
    <t>Bolsa de 10 libras</t>
  </si>
  <si>
    <t>Bodega</t>
  </si>
  <si>
    <t>Arroz 
Bolsa de 5 libras</t>
  </si>
  <si>
    <t>Frijol Negro 
Bolsa de 05 libras</t>
  </si>
  <si>
    <t>Frijol Negro 
Bolsa de 10 libras</t>
  </si>
  <si>
    <t>Azucar Bolsa de 500 Gramos</t>
  </si>
  <si>
    <t xml:space="preserve">Mezcla de harina de Maiz y Soya Fortificada 
Bolsa de 900 gramos </t>
  </si>
  <si>
    <t>Sal Yodada Bolsa de 460 gramos</t>
  </si>
  <si>
    <t>Sal Yodada Bolsa de 500 gramos</t>
  </si>
  <si>
    <t>Aceite Vegetal Botella de 800 ml</t>
  </si>
  <si>
    <t>Hojuela de Avena Bolsa de 1 kg</t>
  </si>
  <si>
    <t>Harina de Maiz Nixtamalizada Bolsa de 05 libras</t>
  </si>
  <si>
    <t>Maíz Blanco Bolsa de 25 libras</t>
  </si>
  <si>
    <t>DISPONIBLE EN RACIONES</t>
  </si>
  <si>
    <t>CONVENIO</t>
  </si>
  <si>
    <t>VILLA NUEVA</t>
  </si>
  <si>
    <t>002-2026</t>
  </si>
  <si>
    <t>RIO HONDO</t>
  </si>
  <si>
    <t>QUETZALTENANGO 2</t>
  </si>
  <si>
    <t xml:space="preserve">ESTANZUELA </t>
  </si>
  <si>
    <t xml:space="preserve">FRAIJANES </t>
  </si>
  <si>
    <t>003-2026</t>
  </si>
  <si>
    <t>CHIMALTENANGO</t>
  </si>
  <si>
    <t>004-2026</t>
  </si>
  <si>
    <t>QUETZALTENANGO SILO</t>
  </si>
  <si>
    <t>005-2026</t>
  </si>
  <si>
    <t>RESERVA ESTRATEGICA</t>
  </si>
  <si>
    <t>ALIMENTOS POR ACCIONES</t>
  </si>
  <si>
    <t>PROGRAMA / DAAN</t>
  </si>
  <si>
    <t>NDA - MJ - MT - MC</t>
  </si>
  <si>
    <t>INSAN</t>
  </si>
  <si>
    <t>NDA - MJ - MC - MT</t>
  </si>
  <si>
    <t>CONTENIDO DE LA RACION POR CONVENIOS - 2026</t>
  </si>
  <si>
    <t>CONVENIO 03-2026                    RESERVA ESTRATEGICA</t>
  </si>
  <si>
    <t>CONVENIO 04-2026             ALIMENTOS POR ACCIONES</t>
  </si>
  <si>
    <t>BODEGA</t>
  </si>
  <si>
    <t xml:space="preserve">DISPONIBLE EN RACIONES </t>
  </si>
  <si>
    <t>TOTAL RACIONES DISPONIBLES PARA PROGRAMAR</t>
  </si>
  <si>
    <t xml:space="preserve">TOTAL </t>
  </si>
  <si>
    <t>CONVENIO 02-2026
INSAN</t>
  </si>
  <si>
    <t>CONVENIO 05-2026
NDA | MJ |MT | MC</t>
  </si>
  <si>
    <t>Harina de Maiz Nixtamalizada o Maíz Blanco</t>
  </si>
  <si>
    <t>AMATES / INDECA</t>
  </si>
  <si>
    <t>IPALA / INDECA</t>
  </si>
  <si>
    <t>TACTIC / INDECA</t>
  </si>
  <si>
    <t>ESTANZUELA / PMA</t>
  </si>
  <si>
    <t>CHIMALTENANGO / INDECA</t>
  </si>
  <si>
    <t>FRAIJANES / INDECA</t>
  </si>
  <si>
    <t>QUETZALTENANGO SILO / PMA</t>
  </si>
  <si>
    <t>QUETZALTENANGO 2 / PMA</t>
  </si>
  <si>
    <t>RIO HONDO / PMA</t>
  </si>
  <si>
    <t>VILLA NUEVA / PMA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</si>
</sst>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164" fontId="0" fillId="6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0" fillId="6" borderId="2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3" fontId="0" fillId="3" borderId="1" xfId="0" applyNumberFormat="1" applyFill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3" fontId="0" fillId="0" borderId="5" xfId="0" applyNumberForma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3654-C15E-4B2B-8BAB-BA41DC634F84}">
  <dimension ref="A1:G8"/>
  <sheetViews>
    <sheetView showGridLines="0" zoomScaleNormal="100" workbookViewId="0">
      <selection activeCell="A5" sqref="A5"/>
    </sheetView>
  </sheetViews>
  <sheetFormatPr baseColWidth="10" defaultRowHeight="14.5" x14ac:dyDescent="0.35"/>
  <cols>
    <col min="1" max="1" width="13.36328125" bestFit="1" customWidth="1"/>
    <col min="2" max="2" width="17.453125" customWidth="1"/>
    <col min="3" max="3" width="26.36328125" bestFit="1" customWidth="1"/>
    <col min="4" max="4" width="33" bestFit="1" customWidth="1"/>
    <col min="5" max="5" width="20.81640625" bestFit="1" customWidth="1"/>
    <col min="6" max="6" width="32.81640625" bestFit="1" customWidth="1"/>
    <col min="7" max="7" width="33.81640625" bestFit="1" customWidth="1"/>
  </cols>
  <sheetData>
    <row r="1" spans="1:7" ht="30" customHeight="1" x14ac:dyDescent="0.35">
      <c r="A1" s="40" t="s">
        <v>10</v>
      </c>
      <c r="B1" s="41" t="s">
        <v>1</v>
      </c>
      <c r="C1" s="41" t="s">
        <v>2</v>
      </c>
      <c r="D1" s="41" t="s">
        <v>6</v>
      </c>
      <c r="E1" s="42" t="s">
        <v>7</v>
      </c>
      <c r="F1" s="42" t="s">
        <v>11</v>
      </c>
      <c r="G1" s="41" t="s">
        <v>0</v>
      </c>
    </row>
    <row r="2" spans="1:7" ht="30" customHeight="1" x14ac:dyDescent="0.35">
      <c r="A2" s="40"/>
      <c r="B2" s="41"/>
      <c r="C2" s="41"/>
      <c r="D2" s="41"/>
      <c r="E2" s="42"/>
      <c r="F2" s="43"/>
      <c r="G2" s="41"/>
    </row>
    <row r="3" spans="1:7" ht="44.25" customHeight="1" x14ac:dyDescent="0.35">
      <c r="A3" s="39" t="s">
        <v>8</v>
      </c>
      <c r="B3" s="6" t="s">
        <v>14</v>
      </c>
      <c r="C3" s="7">
        <v>593102</v>
      </c>
      <c r="D3" s="7">
        <v>354500</v>
      </c>
      <c r="E3" s="7">
        <v>327871</v>
      </c>
      <c r="F3" s="37">
        <v>29252</v>
      </c>
      <c r="G3" s="35">
        <v>238602</v>
      </c>
    </row>
    <row r="4" spans="1:7" ht="40.5" customHeight="1" x14ac:dyDescent="0.35">
      <c r="A4" s="39"/>
      <c r="B4" s="8" t="s">
        <v>13</v>
      </c>
      <c r="C4" s="7">
        <v>28037</v>
      </c>
      <c r="D4" s="7">
        <v>28037</v>
      </c>
      <c r="E4" s="7">
        <v>25414</v>
      </c>
      <c r="F4" s="38"/>
      <c r="G4" s="36"/>
    </row>
    <row r="5" spans="1:7" ht="38.25" customHeight="1" x14ac:dyDescent="0.35">
      <c r="A5" s="27" t="s">
        <v>9</v>
      </c>
      <c r="B5" s="9" t="s">
        <v>5</v>
      </c>
      <c r="C5" s="10">
        <v>392648</v>
      </c>
      <c r="D5" s="10">
        <v>269377</v>
      </c>
      <c r="E5" s="10">
        <v>228589</v>
      </c>
      <c r="F5" s="13">
        <v>40788</v>
      </c>
      <c r="G5" s="10">
        <v>123271</v>
      </c>
    </row>
    <row r="6" spans="1:7" ht="43.5" customHeight="1" x14ac:dyDescent="0.35">
      <c r="A6" s="11" t="s">
        <v>12</v>
      </c>
      <c r="B6" s="3" t="s">
        <v>4</v>
      </c>
      <c r="C6" s="4">
        <v>106610</v>
      </c>
      <c r="D6" s="4">
        <v>83250</v>
      </c>
      <c r="E6" s="4">
        <v>63265</v>
      </c>
      <c r="F6" s="4">
        <v>19985</v>
      </c>
      <c r="G6" s="4">
        <v>23360</v>
      </c>
    </row>
    <row r="7" spans="1:7" ht="15" thickBot="1" x14ac:dyDescent="0.4">
      <c r="B7" s="2" t="s">
        <v>3</v>
      </c>
      <c r="C7" s="5">
        <f>SUM(C3:C6)</f>
        <v>1120397</v>
      </c>
      <c r="D7" s="5">
        <f>SUM(D3:D6)</f>
        <v>735164</v>
      </c>
      <c r="E7" s="5">
        <f>SUM(E3:E6)</f>
        <v>645139</v>
      </c>
      <c r="F7" s="5">
        <f>SUM(F3:F6)</f>
        <v>90025</v>
      </c>
      <c r="G7" s="5">
        <f>SUM(G3:G6)</f>
        <v>385233</v>
      </c>
    </row>
    <row r="8" spans="1:7" ht="15" thickTop="1" x14ac:dyDescent="0.35"/>
  </sheetData>
  <mergeCells count="10">
    <mergeCell ref="G3:G4"/>
    <mergeCell ref="F3:F4"/>
    <mergeCell ref="A3:A4"/>
    <mergeCell ref="A1:A2"/>
    <mergeCell ref="G1:G2"/>
    <mergeCell ref="E1:E2"/>
    <mergeCell ref="F1:F2"/>
    <mergeCell ref="B1:B2"/>
    <mergeCell ref="C1:C2"/>
    <mergeCell ref="D1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2522-2E98-4FEE-9F99-B3C0A8B394CF}">
  <dimension ref="A1:F36"/>
  <sheetViews>
    <sheetView showGridLines="0" zoomScale="216" workbookViewId="0">
      <selection sqref="A1:F2"/>
    </sheetView>
  </sheetViews>
  <sheetFormatPr baseColWidth="10" defaultRowHeight="14.5" x14ac:dyDescent="0.35"/>
  <cols>
    <col min="1" max="1" width="41.453125" customWidth="1"/>
    <col min="3" max="3" width="21.6328125" customWidth="1"/>
    <col min="5" max="5" width="13.36328125" style="1" customWidth="1"/>
    <col min="6" max="6" width="27.36328125" style="1" customWidth="1"/>
  </cols>
  <sheetData>
    <row r="1" spans="1:6" x14ac:dyDescent="0.35">
      <c r="A1" s="45" t="s">
        <v>65</v>
      </c>
      <c r="B1" s="45"/>
      <c r="C1" s="45"/>
      <c r="D1" s="45"/>
      <c r="E1" s="45"/>
      <c r="F1" s="45"/>
    </row>
    <row r="2" spans="1:6" ht="14.25" customHeight="1" x14ac:dyDescent="0.35">
      <c r="A2" s="45"/>
      <c r="B2" s="45"/>
      <c r="C2" s="45"/>
      <c r="D2" s="45"/>
      <c r="E2" s="45"/>
      <c r="F2" s="45"/>
    </row>
    <row r="3" spans="1:6" x14ac:dyDescent="0.35">
      <c r="A3" s="41" t="s">
        <v>15</v>
      </c>
      <c r="B3" s="41" t="s">
        <v>16</v>
      </c>
      <c r="C3" s="41"/>
      <c r="D3" s="46" t="s">
        <v>17</v>
      </c>
      <c r="E3" s="40" t="s">
        <v>47</v>
      </c>
      <c r="F3" s="40" t="s">
        <v>61</v>
      </c>
    </row>
    <row r="4" spans="1:6" x14ac:dyDescent="0.35">
      <c r="A4" s="41"/>
      <c r="B4" s="41"/>
      <c r="C4" s="41"/>
      <c r="D4" s="46"/>
      <c r="E4" s="40"/>
      <c r="F4" s="40"/>
    </row>
    <row r="5" spans="1:6" x14ac:dyDescent="0.35">
      <c r="A5" s="14" t="s">
        <v>18</v>
      </c>
      <c r="B5" s="44" t="s">
        <v>19</v>
      </c>
      <c r="C5" s="44"/>
      <c r="D5" s="14">
        <v>1</v>
      </c>
      <c r="E5" s="14" t="s">
        <v>49</v>
      </c>
      <c r="F5" s="14" t="s">
        <v>63</v>
      </c>
    </row>
    <row r="6" spans="1:6" x14ac:dyDescent="0.35">
      <c r="A6" s="14" t="s">
        <v>20</v>
      </c>
      <c r="B6" s="44" t="s">
        <v>19</v>
      </c>
      <c r="C6" s="44"/>
      <c r="D6" s="14">
        <v>2</v>
      </c>
      <c r="E6" s="14" t="s">
        <v>49</v>
      </c>
      <c r="F6" s="14" t="s">
        <v>63</v>
      </c>
    </row>
    <row r="7" spans="1:6" x14ac:dyDescent="0.35">
      <c r="A7" s="14" t="s">
        <v>21</v>
      </c>
      <c r="B7" s="44" t="s">
        <v>22</v>
      </c>
      <c r="C7" s="44"/>
      <c r="D7" s="14">
        <v>1</v>
      </c>
      <c r="E7" s="14" t="s">
        <v>49</v>
      </c>
      <c r="F7" s="14" t="s">
        <v>63</v>
      </c>
    </row>
    <row r="8" spans="1:6" x14ac:dyDescent="0.35">
      <c r="A8" s="14" t="s">
        <v>23</v>
      </c>
      <c r="B8" s="44" t="s">
        <v>24</v>
      </c>
      <c r="C8" s="44"/>
      <c r="D8" s="14">
        <v>2</v>
      </c>
      <c r="E8" s="14" t="s">
        <v>49</v>
      </c>
      <c r="F8" s="14" t="s">
        <v>63</v>
      </c>
    </row>
    <row r="9" spans="1:6" x14ac:dyDescent="0.35">
      <c r="A9" s="14" t="s">
        <v>25</v>
      </c>
      <c r="B9" s="44" t="s">
        <v>26</v>
      </c>
      <c r="C9" s="44"/>
      <c r="D9" s="14">
        <v>1</v>
      </c>
      <c r="E9" s="14" t="s">
        <v>49</v>
      </c>
      <c r="F9" s="14" t="s">
        <v>63</v>
      </c>
    </row>
    <row r="10" spans="1:6" x14ac:dyDescent="0.35">
      <c r="A10" s="14" t="s">
        <v>27</v>
      </c>
      <c r="B10" s="44" t="s">
        <v>28</v>
      </c>
      <c r="C10" s="44"/>
      <c r="D10" s="14">
        <v>1</v>
      </c>
      <c r="E10" s="14" t="s">
        <v>49</v>
      </c>
      <c r="F10" s="14" t="s">
        <v>63</v>
      </c>
    </row>
    <row r="11" spans="1:6" x14ac:dyDescent="0.35">
      <c r="A11" s="14" t="s">
        <v>27</v>
      </c>
      <c r="B11" s="44" t="s">
        <v>24</v>
      </c>
      <c r="C11" s="44"/>
      <c r="D11" s="14">
        <v>1</v>
      </c>
      <c r="E11" s="14" t="s">
        <v>49</v>
      </c>
      <c r="F11" s="14" t="s">
        <v>63</v>
      </c>
    </row>
    <row r="12" spans="1:6" x14ac:dyDescent="0.35">
      <c r="A12" s="14" t="s">
        <v>74</v>
      </c>
      <c r="B12" s="44" t="s">
        <v>30</v>
      </c>
      <c r="C12" s="44"/>
      <c r="D12" s="14">
        <v>2</v>
      </c>
      <c r="E12" s="14" t="s">
        <v>49</v>
      </c>
      <c r="F12" s="14" t="s">
        <v>63</v>
      </c>
    </row>
    <row r="13" spans="1:6" x14ac:dyDescent="0.35">
      <c r="A13" s="39" t="s">
        <v>31</v>
      </c>
      <c r="B13" s="44" t="s">
        <v>32</v>
      </c>
      <c r="C13" s="44"/>
      <c r="D13" s="44">
        <v>1</v>
      </c>
      <c r="E13" s="14" t="s">
        <v>49</v>
      </c>
      <c r="F13" s="14" t="s">
        <v>63</v>
      </c>
    </row>
    <row r="14" spans="1:6" x14ac:dyDescent="0.35">
      <c r="A14" s="39"/>
      <c r="B14" s="44"/>
      <c r="C14" s="44"/>
      <c r="D14" s="44"/>
      <c r="E14" s="14" t="s">
        <v>49</v>
      </c>
      <c r="F14" s="14" t="s">
        <v>63</v>
      </c>
    </row>
    <row r="15" spans="1:6" x14ac:dyDescent="0.35">
      <c r="A15" s="14" t="s">
        <v>18</v>
      </c>
      <c r="B15" s="44" t="s">
        <v>19</v>
      </c>
      <c r="C15" s="44"/>
      <c r="D15" s="14">
        <v>1</v>
      </c>
      <c r="E15" s="14" t="s">
        <v>54</v>
      </c>
      <c r="F15" s="14" t="s">
        <v>59</v>
      </c>
    </row>
    <row r="16" spans="1:6" x14ac:dyDescent="0.35">
      <c r="A16" s="14" t="s">
        <v>20</v>
      </c>
      <c r="B16" s="44" t="s">
        <v>19</v>
      </c>
      <c r="C16" s="44"/>
      <c r="D16" s="14">
        <v>3</v>
      </c>
      <c r="E16" s="14" t="s">
        <v>54</v>
      </c>
      <c r="F16" s="14" t="s">
        <v>59</v>
      </c>
    </row>
    <row r="17" spans="1:6" x14ac:dyDescent="0.35">
      <c r="A17" s="14" t="s">
        <v>29</v>
      </c>
      <c r="B17" s="44" t="s">
        <v>30</v>
      </c>
      <c r="C17" s="44"/>
      <c r="D17" s="14">
        <v>2</v>
      </c>
      <c r="E17" s="14" t="s">
        <v>54</v>
      </c>
      <c r="F17" s="14" t="s">
        <v>59</v>
      </c>
    </row>
    <row r="18" spans="1:6" x14ac:dyDescent="0.35">
      <c r="A18" s="14" t="s">
        <v>18</v>
      </c>
      <c r="B18" s="44" t="s">
        <v>19</v>
      </c>
      <c r="C18" s="44"/>
      <c r="D18" s="14">
        <v>1</v>
      </c>
      <c r="E18" s="14" t="s">
        <v>56</v>
      </c>
      <c r="F18" s="14" t="s">
        <v>9</v>
      </c>
    </row>
    <row r="19" spans="1:6" x14ac:dyDescent="0.35">
      <c r="A19" s="14" t="s">
        <v>20</v>
      </c>
      <c r="B19" s="44" t="s">
        <v>19</v>
      </c>
      <c r="C19" s="44"/>
      <c r="D19" s="14">
        <v>2</v>
      </c>
      <c r="E19" s="14" t="s">
        <v>56</v>
      </c>
      <c r="F19" s="14" t="s">
        <v>9</v>
      </c>
    </row>
    <row r="20" spans="1:6" x14ac:dyDescent="0.35">
      <c r="A20" s="14" t="s">
        <v>20</v>
      </c>
      <c r="B20" s="44" t="s">
        <v>33</v>
      </c>
      <c r="C20" s="44"/>
      <c r="D20" s="14">
        <v>1</v>
      </c>
      <c r="E20" s="14" t="s">
        <v>56</v>
      </c>
      <c r="F20" s="14" t="s">
        <v>9</v>
      </c>
    </row>
    <row r="21" spans="1:6" x14ac:dyDescent="0.35">
      <c r="A21" s="14" t="s">
        <v>21</v>
      </c>
      <c r="B21" s="44" t="s">
        <v>22</v>
      </c>
      <c r="C21" s="44"/>
      <c r="D21" s="14">
        <v>1</v>
      </c>
      <c r="E21" s="14" t="s">
        <v>56</v>
      </c>
      <c r="F21" s="14" t="s">
        <v>9</v>
      </c>
    </row>
    <row r="22" spans="1:6" x14ac:dyDescent="0.35">
      <c r="A22" s="14" t="s">
        <v>23</v>
      </c>
      <c r="B22" s="44" t="s">
        <v>24</v>
      </c>
      <c r="C22" s="44"/>
      <c r="D22" s="14">
        <v>2</v>
      </c>
      <c r="E22" s="14" t="s">
        <v>56</v>
      </c>
      <c r="F22" s="14" t="s">
        <v>9</v>
      </c>
    </row>
    <row r="23" spans="1:6" x14ac:dyDescent="0.35">
      <c r="A23" s="14" t="s">
        <v>25</v>
      </c>
      <c r="B23" s="44" t="s">
        <v>26</v>
      </c>
      <c r="C23" s="44"/>
      <c r="D23" s="14">
        <v>1</v>
      </c>
      <c r="E23" s="14" t="s">
        <v>56</v>
      </c>
      <c r="F23" s="14" t="s">
        <v>9</v>
      </c>
    </row>
    <row r="24" spans="1:6" x14ac:dyDescent="0.35">
      <c r="A24" s="14" t="s">
        <v>27</v>
      </c>
      <c r="B24" s="44" t="s">
        <v>28</v>
      </c>
      <c r="C24" s="44"/>
      <c r="D24" s="14">
        <v>1</v>
      </c>
      <c r="E24" s="14" t="s">
        <v>56</v>
      </c>
      <c r="F24" s="14" t="s">
        <v>9</v>
      </c>
    </row>
    <row r="25" spans="1:6" x14ac:dyDescent="0.35">
      <c r="A25" s="14" t="s">
        <v>27</v>
      </c>
      <c r="B25" s="44" t="s">
        <v>24</v>
      </c>
      <c r="C25" s="44"/>
      <c r="D25" s="14">
        <v>1</v>
      </c>
      <c r="E25" s="14" t="s">
        <v>56</v>
      </c>
      <c r="F25" s="14" t="s">
        <v>9</v>
      </c>
    </row>
    <row r="26" spans="1:6" x14ac:dyDescent="0.35">
      <c r="A26" s="14" t="s">
        <v>74</v>
      </c>
      <c r="B26" s="44" t="s">
        <v>30</v>
      </c>
      <c r="C26" s="44"/>
      <c r="D26" s="14">
        <v>2</v>
      </c>
      <c r="E26" s="14" t="s">
        <v>56</v>
      </c>
      <c r="F26" s="14" t="s">
        <v>9</v>
      </c>
    </row>
    <row r="27" spans="1:6" x14ac:dyDescent="0.35">
      <c r="A27" s="39" t="s">
        <v>31</v>
      </c>
      <c r="B27" s="44" t="s">
        <v>32</v>
      </c>
      <c r="C27" s="44"/>
      <c r="D27" s="44">
        <v>1</v>
      </c>
      <c r="E27" s="14" t="s">
        <v>56</v>
      </c>
      <c r="F27" s="14" t="s">
        <v>9</v>
      </c>
    </row>
    <row r="28" spans="1:6" x14ac:dyDescent="0.35">
      <c r="A28" s="39"/>
      <c r="B28" s="44"/>
      <c r="C28" s="44"/>
      <c r="D28" s="44"/>
      <c r="E28" s="14" t="s">
        <v>56</v>
      </c>
      <c r="F28" s="14" t="s">
        <v>9</v>
      </c>
    </row>
    <row r="29" spans="1:6" x14ac:dyDescent="0.35">
      <c r="A29" s="14" t="s">
        <v>18</v>
      </c>
      <c r="B29" s="44" t="s">
        <v>19</v>
      </c>
      <c r="C29" s="44"/>
      <c r="D29" s="14">
        <v>4</v>
      </c>
      <c r="E29" s="14" t="s">
        <v>58</v>
      </c>
      <c r="F29" s="14" t="s">
        <v>64</v>
      </c>
    </row>
    <row r="30" spans="1:6" x14ac:dyDescent="0.35">
      <c r="A30" s="14" t="s">
        <v>20</v>
      </c>
      <c r="B30" s="44" t="s">
        <v>19</v>
      </c>
      <c r="C30" s="44"/>
      <c r="D30" s="14">
        <v>6</v>
      </c>
      <c r="E30" s="14" t="s">
        <v>58</v>
      </c>
      <c r="F30" s="14" t="s">
        <v>64</v>
      </c>
    </row>
    <row r="31" spans="1:6" x14ac:dyDescent="0.35">
      <c r="A31" s="14" t="s">
        <v>21</v>
      </c>
      <c r="B31" s="44" t="s">
        <v>22</v>
      </c>
      <c r="C31" s="44"/>
      <c r="D31" s="14">
        <v>3</v>
      </c>
      <c r="E31" s="14" t="s">
        <v>58</v>
      </c>
      <c r="F31" s="14" t="s">
        <v>64</v>
      </c>
    </row>
    <row r="32" spans="1:6" x14ac:dyDescent="0.35">
      <c r="A32" s="14" t="s">
        <v>23</v>
      </c>
      <c r="B32" s="44" t="s">
        <v>24</v>
      </c>
      <c r="C32" s="44"/>
      <c r="D32" s="14">
        <v>5</v>
      </c>
      <c r="E32" s="14" t="s">
        <v>58</v>
      </c>
      <c r="F32" s="14" t="s">
        <v>64</v>
      </c>
    </row>
    <row r="33" spans="1:6" x14ac:dyDescent="0.35">
      <c r="A33" s="14" t="s">
        <v>25</v>
      </c>
      <c r="B33" s="44" t="s">
        <v>26</v>
      </c>
      <c r="C33" s="44"/>
      <c r="D33" s="14">
        <v>2</v>
      </c>
      <c r="E33" s="14" t="s">
        <v>58</v>
      </c>
      <c r="F33" s="14" t="s">
        <v>64</v>
      </c>
    </row>
    <row r="34" spans="1:6" x14ac:dyDescent="0.35">
      <c r="A34" s="14" t="s">
        <v>74</v>
      </c>
      <c r="B34" s="44" t="s">
        <v>30</v>
      </c>
      <c r="C34" s="44"/>
      <c r="D34" s="14">
        <v>5</v>
      </c>
      <c r="E34" s="14" t="s">
        <v>58</v>
      </c>
      <c r="F34" s="14" t="s">
        <v>64</v>
      </c>
    </row>
    <row r="35" spans="1:6" x14ac:dyDescent="0.35">
      <c r="A35" s="39" t="s">
        <v>31</v>
      </c>
      <c r="B35" s="44" t="s">
        <v>32</v>
      </c>
      <c r="C35" s="44"/>
      <c r="D35" s="44">
        <v>4</v>
      </c>
      <c r="E35" s="14" t="s">
        <v>58</v>
      </c>
      <c r="F35" s="14" t="s">
        <v>64</v>
      </c>
    </row>
    <row r="36" spans="1:6" x14ac:dyDescent="0.35">
      <c r="A36" s="39"/>
      <c r="B36" s="44"/>
      <c r="C36" s="44"/>
      <c r="D36" s="44"/>
      <c r="E36" s="14" t="s">
        <v>58</v>
      </c>
      <c r="F36" s="14" t="s">
        <v>64</v>
      </c>
    </row>
  </sheetData>
  <mergeCells count="41">
    <mergeCell ref="F3:F4"/>
    <mergeCell ref="A1:F2"/>
    <mergeCell ref="A3:A4"/>
    <mergeCell ref="B3:C4"/>
    <mergeCell ref="D3:D4"/>
    <mergeCell ref="D35:D36"/>
    <mergeCell ref="E3:E4"/>
    <mergeCell ref="B30:C30"/>
    <mergeCell ref="B31:C31"/>
    <mergeCell ref="B32:C32"/>
    <mergeCell ref="B33:C33"/>
    <mergeCell ref="B34:C34"/>
    <mergeCell ref="D27:D28"/>
    <mergeCell ref="B29:C29"/>
    <mergeCell ref="B24:C24"/>
    <mergeCell ref="B25:C25"/>
    <mergeCell ref="B26:C26"/>
    <mergeCell ref="B15:C15"/>
    <mergeCell ref="B16:C16"/>
    <mergeCell ref="B17:C17"/>
    <mergeCell ref="B22:C22"/>
    <mergeCell ref="A35:A36"/>
    <mergeCell ref="B35:C36"/>
    <mergeCell ref="B18:C18"/>
    <mergeCell ref="B19:C19"/>
    <mergeCell ref="B20:C20"/>
    <mergeCell ref="B21:C21"/>
    <mergeCell ref="A27:A28"/>
    <mergeCell ref="B27:C28"/>
    <mergeCell ref="B23:C23"/>
    <mergeCell ref="B5:C5"/>
    <mergeCell ref="B6:C6"/>
    <mergeCell ref="A13:A14"/>
    <mergeCell ref="B13:C14"/>
    <mergeCell ref="D13:D14"/>
    <mergeCell ref="B7:C7"/>
    <mergeCell ref="B8:C8"/>
    <mergeCell ref="B9:C9"/>
    <mergeCell ref="B10:C10"/>
    <mergeCell ref="B11:C11"/>
    <mergeCell ref="B12:C1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9630-3E55-47C3-80DC-002E8A2BC6B5}">
  <dimension ref="A1:O15"/>
  <sheetViews>
    <sheetView showGridLines="0" zoomScale="125" workbookViewId="0">
      <selection activeCell="E1" sqref="E1:E1048576"/>
    </sheetView>
  </sheetViews>
  <sheetFormatPr baseColWidth="10" defaultRowHeight="14.5" x14ac:dyDescent="0.35"/>
  <cols>
    <col min="1" max="1" width="30.6328125" customWidth="1"/>
    <col min="6" max="6" width="17" customWidth="1"/>
    <col min="15" max="15" width="14.81640625" style="1" customWidth="1"/>
  </cols>
  <sheetData>
    <row r="1" spans="1:15" ht="76.5" customHeight="1" x14ac:dyDescent="0.35">
      <c r="A1" s="12" t="s">
        <v>34</v>
      </c>
      <c r="B1" s="12" t="s">
        <v>35</v>
      </c>
      <c r="C1" s="12" t="s">
        <v>36</v>
      </c>
      <c r="D1" s="12" t="s">
        <v>37</v>
      </c>
      <c r="E1" s="12" t="s">
        <v>38</v>
      </c>
      <c r="F1" s="12" t="s">
        <v>39</v>
      </c>
      <c r="G1" s="12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2" t="s">
        <v>45</v>
      </c>
      <c r="M1" s="15" t="s">
        <v>46</v>
      </c>
      <c r="N1" s="12" t="s">
        <v>47</v>
      </c>
      <c r="O1" s="26" t="s">
        <v>61</v>
      </c>
    </row>
    <row r="2" spans="1:15" s="21" customFormat="1" ht="18" customHeight="1" x14ac:dyDescent="0.35">
      <c r="A2" s="16" t="s">
        <v>48</v>
      </c>
      <c r="B2" s="17">
        <v>4360</v>
      </c>
      <c r="C2" s="17">
        <v>8720</v>
      </c>
      <c r="D2" s="18">
        <v>0</v>
      </c>
      <c r="E2" s="17">
        <v>8720</v>
      </c>
      <c r="F2" s="17">
        <v>4360</v>
      </c>
      <c r="G2" s="19">
        <v>0</v>
      </c>
      <c r="H2" s="17">
        <v>4360</v>
      </c>
      <c r="I2" s="17">
        <v>4360</v>
      </c>
      <c r="J2" s="17">
        <v>4360</v>
      </c>
      <c r="K2" s="17">
        <v>8720</v>
      </c>
      <c r="L2" s="19">
        <v>0</v>
      </c>
      <c r="M2" s="17">
        <v>4360</v>
      </c>
      <c r="N2" s="20" t="s">
        <v>49</v>
      </c>
      <c r="O2" s="14" t="s">
        <v>63</v>
      </c>
    </row>
    <row r="3" spans="1:15" s="23" customFormat="1" ht="18" customHeight="1" x14ac:dyDescent="0.35">
      <c r="A3" s="16" t="s">
        <v>50</v>
      </c>
      <c r="B3" s="22">
        <v>17850</v>
      </c>
      <c r="C3" s="22">
        <v>35700</v>
      </c>
      <c r="D3" s="18">
        <v>0</v>
      </c>
      <c r="E3" s="22">
        <v>35700</v>
      </c>
      <c r="F3" s="22">
        <v>17850</v>
      </c>
      <c r="G3" s="22">
        <v>17850</v>
      </c>
      <c r="H3" s="18">
        <v>0</v>
      </c>
      <c r="I3" s="22">
        <v>17850</v>
      </c>
      <c r="J3" s="22">
        <v>17850</v>
      </c>
      <c r="K3" s="22">
        <v>34354</v>
      </c>
      <c r="L3" s="22">
        <v>673</v>
      </c>
      <c r="M3" s="17">
        <v>17850</v>
      </c>
      <c r="N3" s="20" t="s">
        <v>49</v>
      </c>
      <c r="O3" s="14" t="s">
        <v>63</v>
      </c>
    </row>
    <row r="4" spans="1:15" s="21" customFormat="1" ht="18" customHeight="1" x14ac:dyDescent="0.35">
      <c r="A4" s="14" t="s">
        <v>51</v>
      </c>
      <c r="B4" s="17">
        <v>27000</v>
      </c>
      <c r="C4" s="17">
        <v>54000</v>
      </c>
      <c r="D4" s="18">
        <v>0</v>
      </c>
      <c r="E4" s="17">
        <v>7720</v>
      </c>
      <c r="F4" s="17">
        <v>27000</v>
      </c>
      <c r="G4" s="17">
        <v>23140</v>
      </c>
      <c r="H4" s="17">
        <v>3860</v>
      </c>
      <c r="I4" s="17">
        <v>27000</v>
      </c>
      <c r="J4" s="17">
        <v>27000</v>
      </c>
      <c r="K4" s="17">
        <v>48374</v>
      </c>
      <c r="L4" s="17">
        <v>2813</v>
      </c>
      <c r="M4" s="17">
        <v>3860</v>
      </c>
      <c r="N4" s="20" t="s">
        <v>49</v>
      </c>
      <c r="O4" s="14" t="s">
        <v>63</v>
      </c>
    </row>
    <row r="5" spans="1:15" s="21" customFormat="1" ht="18" customHeight="1" x14ac:dyDescent="0.35">
      <c r="A5" s="14" t="s">
        <v>52</v>
      </c>
      <c r="B5" s="17">
        <v>559</v>
      </c>
      <c r="C5" s="17">
        <v>1118</v>
      </c>
      <c r="D5" s="18">
        <v>0</v>
      </c>
      <c r="E5" s="17">
        <v>1118</v>
      </c>
      <c r="F5" s="17">
        <v>559</v>
      </c>
      <c r="G5" s="17">
        <v>559</v>
      </c>
      <c r="H5" s="19">
        <v>0</v>
      </c>
      <c r="I5" s="17">
        <v>559</v>
      </c>
      <c r="J5" s="17">
        <v>559</v>
      </c>
      <c r="K5" s="17">
        <v>1118</v>
      </c>
      <c r="L5" s="19">
        <v>0</v>
      </c>
      <c r="M5" s="17">
        <v>559</v>
      </c>
      <c r="N5" s="20" t="s">
        <v>49</v>
      </c>
      <c r="O5" s="14" t="s">
        <v>63</v>
      </c>
    </row>
    <row r="6" spans="1:15" x14ac:dyDescent="0.35">
      <c r="A6" s="16" t="s">
        <v>53</v>
      </c>
      <c r="B6" s="24">
        <v>19035</v>
      </c>
      <c r="C6" s="17">
        <v>57105</v>
      </c>
      <c r="D6" s="18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7">
        <v>38070</v>
      </c>
      <c r="M6" s="17">
        <v>19035</v>
      </c>
      <c r="N6" s="14" t="s">
        <v>54</v>
      </c>
      <c r="O6" s="47" t="s">
        <v>59</v>
      </c>
    </row>
    <row r="7" spans="1:15" x14ac:dyDescent="0.35">
      <c r="A7" s="16" t="s">
        <v>55</v>
      </c>
      <c r="B7" s="24">
        <v>950</v>
      </c>
      <c r="C7" s="17">
        <v>2848</v>
      </c>
      <c r="D7" s="18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7">
        <v>1900</v>
      </c>
      <c r="M7" s="17">
        <v>950</v>
      </c>
      <c r="N7" s="14" t="s">
        <v>54</v>
      </c>
      <c r="O7" s="38"/>
    </row>
    <row r="8" spans="1:15" x14ac:dyDescent="0.35">
      <c r="A8" s="16" t="s">
        <v>48</v>
      </c>
      <c r="B8" s="17">
        <v>19171</v>
      </c>
      <c r="C8" s="17">
        <v>5282</v>
      </c>
      <c r="D8" s="17">
        <v>16530</v>
      </c>
      <c r="E8" s="17">
        <v>38342</v>
      </c>
      <c r="F8" s="17">
        <v>19171</v>
      </c>
      <c r="G8" s="17">
        <v>12799</v>
      </c>
      <c r="H8" s="17">
        <v>6372</v>
      </c>
      <c r="I8" s="17">
        <v>19171</v>
      </c>
      <c r="J8" s="17">
        <v>19171</v>
      </c>
      <c r="K8" s="19">
        <v>0</v>
      </c>
      <c r="L8" s="17">
        <v>19171</v>
      </c>
      <c r="M8" s="17">
        <v>19171</v>
      </c>
      <c r="N8" s="14" t="s">
        <v>56</v>
      </c>
      <c r="O8" s="47" t="s">
        <v>60</v>
      </c>
    </row>
    <row r="9" spans="1:15" x14ac:dyDescent="0.35">
      <c r="A9" s="16" t="s">
        <v>50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9">
        <v>0</v>
      </c>
      <c r="N9" s="14" t="s">
        <v>56</v>
      </c>
      <c r="O9" s="48"/>
    </row>
    <row r="10" spans="1:15" x14ac:dyDescent="0.35">
      <c r="A10" s="16" t="s">
        <v>52</v>
      </c>
      <c r="B10" s="22">
        <v>453</v>
      </c>
      <c r="C10" s="22">
        <v>906</v>
      </c>
      <c r="D10" s="18">
        <v>0</v>
      </c>
      <c r="E10" s="22">
        <v>906</v>
      </c>
      <c r="F10" s="22">
        <v>453</v>
      </c>
      <c r="G10" s="22">
        <v>453</v>
      </c>
      <c r="H10" s="22">
        <v>0</v>
      </c>
      <c r="I10" s="22">
        <v>453</v>
      </c>
      <c r="J10" s="22">
        <v>453</v>
      </c>
      <c r="K10" s="18">
        <v>0</v>
      </c>
      <c r="L10" s="22">
        <v>453</v>
      </c>
      <c r="M10" s="17">
        <v>453</v>
      </c>
      <c r="N10" s="14" t="s">
        <v>56</v>
      </c>
      <c r="O10" s="48"/>
    </row>
    <row r="11" spans="1:15" x14ac:dyDescent="0.35">
      <c r="A11" s="14" t="s">
        <v>51</v>
      </c>
      <c r="B11" s="17">
        <v>11636</v>
      </c>
      <c r="C11" s="17">
        <v>23272</v>
      </c>
      <c r="D11" s="19">
        <v>0</v>
      </c>
      <c r="E11" s="17">
        <v>23272</v>
      </c>
      <c r="F11" s="17">
        <v>11636</v>
      </c>
      <c r="G11" s="17">
        <v>11095</v>
      </c>
      <c r="H11" s="17">
        <v>541</v>
      </c>
      <c r="I11" s="17">
        <v>11636</v>
      </c>
      <c r="J11" s="17">
        <v>11636</v>
      </c>
      <c r="K11" s="17">
        <v>1086</v>
      </c>
      <c r="L11" s="17">
        <v>11093</v>
      </c>
      <c r="M11" s="17">
        <v>11636</v>
      </c>
      <c r="N11" s="14" t="s">
        <v>56</v>
      </c>
      <c r="O11" s="48"/>
    </row>
    <row r="12" spans="1:15" x14ac:dyDescent="0.35">
      <c r="A12" s="14" t="s">
        <v>57</v>
      </c>
      <c r="B12" s="17">
        <v>9528</v>
      </c>
      <c r="C12" s="17">
        <v>19056</v>
      </c>
      <c r="D12" s="19">
        <v>0</v>
      </c>
      <c r="E12" s="17">
        <v>19056</v>
      </c>
      <c r="F12" s="17">
        <v>9528</v>
      </c>
      <c r="G12" s="17">
        <v>9528</v>
      </c>
      <c r="H12" s="19">
        <v>0</v>
      </c>
      <c r="I12" s="17">
        <v>9528</v>
      </c>
      <c r="J12" s="17">
        <v>9528</v>
      </c>
      <c r="K12" s="19">
        <v>0</v>
      </c>
      <c r="L12" s="17">
        <v>9528</v>
      </c>
      <c r="M12" s="17">
        <v>9528</v>
      </c>
      <c r="N12" s="14" t="s">
        <v>56</v>
      </c>
      <c r="O12" s="38"/>
    </row>
    <row r="13" spans="1:15" ht="29" x14ac:dyDescent="0.35">
      <c r="A13" s="16" t="s">
        <v>50</v>
      </c>
      <c r="B13" s="22">
        <v>10492</v>
      </c>
      <c r="C13" s="22">
        <v>15738</v>
      </c>
      <c r="D13" s="19">
        <v>0</v>
      </c>
      <c r="E13" s="22">
        <v>13115</v>
      </c>
      <c r="F13" s="22">
        <v>10492</v>
      </c>
      <c r="G13" s="19">
        <v>0</v>
      </c>
      <c r="H13" s="19">
        <v>0</v>
      </c>
      <c r="I13" s="22">
        <v>5246</v>
      </c>
      <c r="J13" s="22">
        <v>7869</v>
      </c>
      <c r="K13" s="22">
        <v>13115</v>
      </c>
      <c r="L13" s="19">
        <v>0</v>
      </c>
      <c r="M13" s="17">
        <v>2623</v>
      </c>
      <c r="N13" s="14" t="s">
        <v>58</v>
      </c>
      <c r="O13" s="11" t="s">
        <v>62</v>
      </c>
    </row>
    <row r="14" spans="1:15" ht="15" thickBot="1" x14ac:dyDescent="0.4">
      <c r="B14" s="25">
        <f>SUM(B2:B13)</f>
        <v>121034</v>
      </c>
      <c r="C14" s="25">
        <f t="shared" ref="C14:L14" si="0">SUM(C2:C13)</f>
        <v>223745</v>
      </c>
      <c r="D14" s="25">
        <f t="shared" si="0"/>
        <v>16530</v>
      </c>
      <c r="E14" s="25">
        <f t="shared" si="0"/>
        <v>147949</v>
      </c>
      <c r="F14" s="25">
        <f t="shared" si="0"/>
        <v>101049</v>
      </c>
      <c r="G14" s="25">
        <f t="shared" si="0"/>
        <v>75424</v>
      </c>
      <c r="H14" s="25">
        <f t="shared" si="0"/>
        <v>15133</v>
      </c>
      <c r="I14" s="25">
        <f t="shared" si="0"/>
        <v>95803</v>
      </c>
      <c r="J14" s="25">
        <f t="shared" si="0"/>
        <v>98426</v>
      </c>
      <c r="K14" s="25">
        <f t="shared" si="0"/>
        <v>106767</v>
      </c>
      <c r="L14" s="25">
        <f t="shared" si="0"/>
        <v>83701</v>
      </c>
      <c r="M14" s="25">
        <f>SUM(M2:M13)</f>
        <v>90025</v>
      </c>
    </row>
    <row r="15" spans="1:15" ht="15" thickTop="1" x14ac:dyDescent="0.35"/>
  </sheetData>
  <mergeCells count="2">
    <mergeCell ref="O6:O7"/>
    <mergeCell ref="O8:O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8A21-A048-0943-9A51-EAB2972468D7}">
  <dimension ref="A1:F14"/>
  <sheetViews>
    <sheetView tabSelected="1" topLeftCell="A3" zoomScale="172" workbookViewId="0">
      <selection activeCell="B9" sqref="B9"/>
    </sheetView>
  </sheetViews>
  <sheetFormatPr baseColWidth="10" defaultRowHeight="14.5" x14ac:dyDescent="0.35"/>
  <cols>
    <col min="1" max="1" width="31.36328125" customWidth="1"/>
    <col min="2" max="2" width="23.1796875" customWidth="1"/>
    <col min="3" max="3" width="16.453125" customWidth="1"/>
    <col min="4" max="4" width="17.81640625" customWidth="1"/>
    <col min="5" max="5" width="18.453125" customWidth="1"/>
    <col min="6" max="6" width="10.1796875" bestFit="1" customWidth="1"/>
  </cols>
  <sheetData>
    <row r="1" spans="1:6" ht="58" x14ac:dyDescent="0.35">
      <c r="B1" s="28" t="s">
        <v>72</v>
      </c>
      <c r="C1" s="28" t="s">
        <v>66</v>
      </c>
      <c r="D1" s="28" t="s">
        <v>67</v>
      </c>
      <c r="E1" s="28" t="s">
        <v>73</v>
      </c>
    </row>
    <row r="2" spans="1:6" ht="78" x14ac:dyDescent="0.35">
      <c r="A2" s="12" t="s">
        <v>68</v>
      </c>
      <c r="B2" s="29" t="s">
        <v>69</v>
      </c>
      <c r="C2" s="29" t="s">
        <v>69</v>
      </c>
      <c r="D2" s="29" t="s">
        <v>69</v>
      </c>
      <c r="E2" s="29" t="s">
        <v>69</v>
      </c>
      <c r="F2" s="30" t="s">
        <v>70</v>
      </c>
    </row>
    <row r="3" spans="1:6" x14ac:dyDescent="0.35">
      <c r="A3" s="16" t="s">
        <v>84</v>
      </c>
      <c r="B3" s="4">
        <v>4360</v>
      </c>
      <c r="C3" s="31">
        <v>0</v>
      </c>
      <c r="D3" s="31">
        <v>19171</v>
      </c>
      <c r="E3" s="31">
        <v>0</v>
      </c>
      <c r="F3" s="31">
        <v>23531</v>
      </c>
    </row>
    <row r="4" spans="1:6" x14ac:dyDescent="0.35">
      <c r="A4" s="16" t="s">
        <v>83</v>
      </c>
      <c r="B4" s="31">
        <v>17850</v>
      </c>
      <c r="C4" s="31">
        <v>0</v>
      </c>
      <c r="D4" s="31">
        <v>0</v>
      </c>
      <c r="E4" s="31">
        <v>2623</v>
      </c>
      <c r="F4" s="31">
        <v>20473</v>
      </c>
    </row>
    <row r="5" spans="1:6" x14ac:dyDescent="0.35">
      <c r="A5" s="14" t="s">
        <v>82</v>
      </c>
      <c r="B5" s="4">
        <v>3860</v>
      </c>
      <c r="C5" s="31">
        <v>0</v>
      </c>
      <c r="D5" s="31">
        <v>11636</v>
      </c>
      <c r="E5" s="31">
        <v>0</v>
      </c>
      <c r="F5" s="31">
        <v>15496</v>
      </c>
    </row>
    <row r="6" spans="1:6" x14ac:dyDescent="0.35">
      <c r="A6" s="14" t="s">
        <v>81</v>
      </c>
      <c r="B6" s="4">
        <v>0</v>
      </c>
      <c r="C6" s="31">
        <v>0</v>
      </c>
      <c r="D6" s="31">
        <v>9528</v>
      </c>
      <c r="E6" s="31">
        <v>0</v>
      </c>
      <c r="F6" s="31">
        <v>9528</v>
      </c>
    </row>
    <row r="7" spans="1:6" x14ac:dyDescent="0.35">
      <c r="A7" s="14" t="s">
        <v>80</v>
      </c>
      <c r="B7" s="31">
        <v>0</v>
      </c>
      <c r="C7" s="31">
        <v>19035</v>
      </c>
      <c r="D7" s="31">
        <v>0</v>
      </c>
      <c r="E7" s="31">
        <v>0</v>
      </c>
      <c r="F7" s="31">
        <v>19035</v>
      </c>
    </row>
    <row r="8" spans="1:6" x14ac:dyDescent="0.35">
      <c r="A8" s="14" t="s">
        <v>79</v>
      </c>
      <c r="B8" s="31">
        <v>0</v>
      </c>
      <c r="C8" s="31">
        <v>950</v>
      </c>
      <c r="D8" s="31">
        <v>0</v>
      </c>
      <c r="E8" s="31">
        <v>0</v>
      </c>
      <c r="F8" s="31">
        <v>950</v>
      </c>
    </row>
    <row r="9" spans="1:6" x14ac:dyDescent="0.35">
      <c r="A9" s="14" t="s">
        <v>78</v>
      </c>
      <c r="B9" s="31">
        <v>559</v>
      </c>
      <c r="C9" s="31">
        <v>0</v>
      </c>
      <c r="D9" s="31">
        <v>453</v>
      </c>
      <c r="E9" s="31">
        <v>0</v>
      </c>
      <c r="F9" s="31">
        <v>1012</v>
      </c>
    </row>
    <row r="10" spans="1:6" x14ac:dyDescent="0.35">
      <c r="A10" s="34" t="s">
        <v>77</v>
      </c>
      <c r="B10" s="31">
        <v>0</v>
      </c>
      <c r="C10" s="31">
        <v>0</v>
      </c>
      <c r="D10" s="31">
        <v>0</v>
      </c>
      <c r="E10" s="31">
        <v>0</v>
      </c>
      <c r="F10" s="31">
        <v>0</v>
      </c>
    </row>
    <row r="11" spans="1:6" x14ac:dyDescent="0.35">
      <c r="A11" s="34" t="s">
        <v>76</v>
      </c>
      <c r="B11" s="31">
        <v>0</v>
      </c>
      <c r="C11" s="31">
        <v>0</v>
      </c>
      <c r="D11" s="31">
        <v>0</v>
      </c>
      <c r="E11" s="31">
        <v>0</v>
      </c>
      <c r="F11" s="31">
        <v>0</v>
      </c>
    </row>
    <row r="12" spans="1:6" x14ac:dyDescent="0.35">
      <c r="A12" s="34" t="s">
        <v>75</v>
      </c>
      <c r="B12" s="31">
        <v>0</v>
      </c>
      <c r="C12" s="31">
        <v>0</v>
      </c>
      <c r="D12" s="31">
        <v>0</v>
      </c>
      <c r="E12" s="31">
        <v>0</v>
      </c>
      <c r="F12" s="31">
        <v>0</v>
      </c>
    </row>
    <row r="13" spans="1:6" ht="15" thickBot="1" x14ac:dyDescent="0.4">
      <c r="A13" s="32" t="s">
        <v>71</v>
      </c>
      <c r="B13" s="33">
        <v>26629</v>
      </c>
      <c r="C13" s="33">
        <v>19985</v>
      </c>
      <c r="D13" s="33">
        <v>40788</v>
      </c>
      <c r="E13" s="33">
        <v>2623</v>
      </c>
      <c r="F13" s="33">
        <v>90025</v>
      </c>
    </row>
    <row r="14" spans="1:6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RACIONES EN ALMACENES UDAFA </vt:lpstr>
      <vt:lpstr>CONTENIDO DE LA RACION</vt:lpstr>
      <vt:lpstr>DISTRIBUCION RACION POR BODEGA</vt:lpstr>
      <vt:lpstr>RESUMEN CONVENIOS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2026-08-03T21:23:58Z</dcterms:created>
  <dcterms:modified xsi:type="dcterms:W3CDTF">2026-09-24T00:40:15Z</dcterms:modified>
</cp:coreProperties>
</file>